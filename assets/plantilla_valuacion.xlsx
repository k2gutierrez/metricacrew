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CAPITAL_TRABAJO" sheetId="2" state="visible" r:id="rId2"/>
    <sheet name="ESTADO_RESULTADOS" sheetId="3" state="visible" r:id="rId3"/>
    <sheet name="FLUJO_EFECTIVO" sheetId="4" state="visible" r:id="rId4"/>
    <sheet name="VALU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"/>
    <numFmt numFmtId="167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FF1B2A4A"/>
      <sz val="16"/>
    </font>
    <font>
      <name val="Calibri"/>
      <b val="1"/>
      <color rgb="00FFFFFF"/>
      <sz val="12"/>
    </font>
    <font>
      <name val="Calibri"/>
      <color rgb="FF2C3E50"/>
      <sz val="11"/>
    </font>
    <font>
      <name val="Calibri"/>
      <b val="1"/>
      <color rgb="FF1B2A4A"/>
      <sz val="11"/>
    </font>
    <font>
      <name val="Calibri"/>
      <b val="1"/>
      <color rgb="FF2E86C1"/>
      <sz val="14"/>
    </font>
  </fonts>
  <fills count="6">
    <fill>
      <patternFill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FFF9C4"/>
        <bgColor rgb="FFFFF9C4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1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A4A"/>
    <outlinePr summaryBelow="1" summaryRight="1"/>
    <pageSetUpPr/>
  </sheetPr>
  <dimension ref="A1:J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PLANTILLA DE VALUACIÓN DCF - SUPUESTOS GENERALES</t>
        </is>
      </c>
    </row>
    <row r="3">
      <c r="A3" s="2" t="inlineStr"/>
      <c r="B3" s="2" t="inlineStr">
        <is>
          <t>Concepto</t>
        </is>
      </c>
      <c r="C3" s="2" t="inlineStr">
        <is>
          <t>Valor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B4" s="3" t="inlineStr">
        <is>
          <t>Empresa</t>
        </is>
      </c>
      <c r="C4" s="4" t="inlineStr">
        <is>
          <t>Valor, S.A. de C.V.</t>
        </is>
      </c>
    </row>
    <row r="5">
      <c r="B5" s="3" t="inlineStr">
        <is>
          <t>Fecha de Valuación</t>
        </is>
      </c>
      <c r="C5" s="5" t="n">
        <v>45658</v>
      </c>
    </row>
    <row r="6">
      <c r="B6" s="3" t="inlineStr">
        <is>
          <t>Moneda</t>
        </is>
      </c>
      <c r="C6" s="4" t="inlineStr">
        <is>
          <t>MXN</t>
        </is>
      </c>
    </row>
    <row r="8">
      <c r="A8" s="6" t="inlineStr">
        <is>
          <t>CRECIMIENTO DE INGRESOS</t>
        </is>
      </c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2" t="inlineStr"/>
      <c r="B9" s="2" t="inlineStr">
        <is>
          <t>Concepto</t>
        </is>
      </c>
      <c r="C9" s="2" t="inlineStr">
        <is>
          <t>Año -1</t>
        </is>
      </c>
      <c r="D9" s="2" t="inlineStr">
        <is>
          <t>Año 0</t>
        </is>
      </c>
      <c r="E9" s="2" t="inlineStr">
        <is>
          <t>Año 1</t>
        </is>
      </c>
      <c r="F9" s="2" t="inlineStr">
        <is>
          <t>Año 2</t>
        </is>
      </c>
      <c r="G9" s="2" t="inlineStr">
        <is>
          <t>Año 3</t>
        </is>
      </c>
      <c r="H9" s="2" t="inlineStr">
        <is>
          <t>Año 4</t>
        </is>
      </c>
      <c r="I9" s="2" t="inlineStr">
        <is>
          <t>Año 5</t>
        </is>
      </c>
      <c r="J9" s="2" t="inlineStr"/>
    </row>
    <row r="10">
      <c r="B10" s="3" t="inlineStr">
        <is>
          <t>Tasa de Crecimiento</t>
        </is>
      </c>
      <c r="C10" s="8" t="n">
        <v>0.163</v>
      </c>
      <c r="D10" s="8" t="n">
        <v>0.19</v>
      </c>
      <c r="E10" s="8" t="n">
        <v>0.05</v>
      </c>
      <c r="F10" s="8" t="n">
        <v>0.05</v>
      </c>
      <c r="G10" s="8" t="n">
        <v>0.05</v>
      </c>
      <c r="H10" s="8" t="n">
        <v>0.05</v>
      </c>
      <c r="I10" s="8" t="n">
        <v>0.05</v>
      </c>
    </row>
    <row r="12">
      <c r="A12" s="6" t="inlineStr">
        <is>
          <t>ESTRUCTURA DE COSTOS (% de Ingresos)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2" t="inlineStr"/>
      <c r="B13" s="2" t="inlineStr">
        <is>
          <t>Concepto</t>
        </is>
      </c>
      <c r="C13" s="2" t="inlineStr">
        <is>
          <t>Año -1</t>
        </is>
      </c>
      <c r="D13" s="2" t="inlineStr">
        <is>
          <t>Año 0</t>
        </is>
      </c>
      <c r="E13" s="2" t="inlineStr">
        <is>
          <t>Año 1</t>
        </is>
      </c>
      <c r="F13" s="2" t="inlineStr">
        <is>
          <t>Año 2</t>
        </is>
      </c>
      <c r="G13" s="2" t="inlineStr">
        <is>
          <t>Año 3</t>
        </is>
      </c>
      <c r="H13" s="2" t="inlineStr">
        <is>
          <t>Año 4</t>
        </is>
      </c>
      <c r="I13" s="2" t="inlineStr">
        <is>
          <t>Año 5</t>
        </is>
      </c>
      <c r="J13" s="2" t="inlineStr"/>
    </row>
    <row r="14">
      <c r="B14" s="3" t="inlineStr">
        <is>
          <t>Costo Directo</t>
        </is>
      </c>
      <c r="C14" s="8" t="n">
        <v>0.636</v>
      </c>
      <c r="D14" s="8" t="n">
        <v>0.636</v>
      </c>
      <c r="E14" s="8" t="n">
        <v>0.636</v>
      </c>
      <c r="F14" s="8" t="n">
        <v>0.631</v>
      </c>
      <c r="G14" s="8" t="n">
        <v>0.631</v>
      </c>
      <c r="H14" s="8" t="n">
        <v>0.626</v>
      </c>
      <c r="I14" s="8" t="n">
        <v>0.626</v>
      </c>
    </row>
    <row r="15">
      <c r="B15" s="3" t="inlineStr">
        <is>
          <t>Gastos de Venta</t>
        </is>
      </c>
      <c r="C15" s="8" t="n">
        <v>0.235</v>
      </c>
      <c r="D15" s="8" t="n">
        <v>0.242</v>
      </c>
      <c r="E15" s="8" t="n">
        <v>0.242</v>
      </c>
      <c r="F15" s="8" t="n">
        <v>0.242</v>
      </c>
      <c r="G15" s="8" t="n">
        <v>0.242</v>
      </c>
      <c r="H15" s="8" t="n">
        <v>0.242</v>
      </c>
      <c r="I15" s="8" t="n">
        <v>0.242</v>
      </c>
    </row>
    <row r="16">
      <c r="B16" s="3" t="inlineStr">
        <is>
          <t>Gastos Administrativos</t>
        </is>
      </c>
      <c r="C16" s="8" t="n">
        <v>0.019</v>
      </c>
      <c r="D16" s="8" t="n">
        <v>0.018</v>
      </c>
      <c r="E16" s="8" t="n">
        <v>0.019</v>
      </c>
      <c r="F16" s="8" t="n">
        <v>0.019</v>
      </c>
      <c r="G16" s="8" t="n">
        <v>0.019</v>
      </c>
      <c r="H16" s="8" t="n">
        <v>0.019</v>
      </c>
      <c r="I16" s="8" t="n">
        <v>0.019</v>
      </c>
    </row>
    <row r="17">
      <c r="B17" s="3" t="inlineStr">
        <is>
          <t>Depreciación y Amortización (D&amp;A)</t>
        </is>
      </c>
      <c r="C17" s="8" t="n">
        <v>0.026</v>
      </c>
      <c r="D17" s="8" t="n">
        <v>0.025</v>
      </c>
      <c r="E17" s="8" t="n">
        <v>0.025</v>
      </c>
      <c r="F17" s="8" t="n">
        <v>0.025</v>
      </c>
      <c r="G17" s="8" t="n">
        <v>0.025</v>
      </c>
      <c r="H17" s="8" t="n">
        <v>0.025</v>
      </c>
      <c r="I17" s="8" t="n">
        <v>0.025</v>
      </c>
    </row>
    <row r="19">
      <c r="A19" s="6" t="inlineStr">
        <is>
          <t>DÍAS DE CAPITAL DE TRABAJO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2" t="inlineStr"/>
      <c r="B20" s="2" t="inlineStr">
        <is>
          <t>Concepto</t>
        </is>
      </c>
      <c r="C20" s="2" t="inlineStr">
        <is>
          <t>Valor</t>
        </is>
      </c>
      <c r="D20" s="2" t="inlineStr"/>
      <c r="E20" s="2" t="inlineStr"/>
      <c r="F20" s="2" t="inlineStr"/>
      <c r="G20" s="2" t="inlineStr"/>
      <c r="H20" s="2" t="inlineStr"/>
      <c r="I20" s="2" t="inlineStr"/>
    </row>
    <row r="21">
      <c r="B21" s="3" t="inlineStr">
        <is>
          <t>Días Cuentas por Cobrar (CxC)</t>
        </is>
      </c>
      <c r="C21" s="4" t="n">
        <v>45</v>
      </c>
    </row>
    <row r="22">
      <c r="B22" s="3" t="inlineStr">
        <is>
          <t>Días Inventario</t>
        </is>
      </c>
      <c r="C22" s="4" t="n">
        <v>20</v>
      </c>
    </row>
    <row r="23">
      <c r="B23" s="3" t="inlineStr">
        <is>
          <t>Días Cuentas por Pagar (CxP)</t>
        </is>
      </c>
      <c r="C23" s="4" t="n">
        <v>69</v>
      </c>
    </row>
    <row r="25">
      <c r="A25" s="6" t="inlineStr">
        <is>
          <t>TASAS E IMPUESTOS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2" t="inlineStr"/>
      <c r="B26" s="2" t="inlineStr">
        <is>
          <t>Concepto</t>
        </is>
      </c>
      <c r="C26" s="2" t="inlineStr">
        <is>
          <t>Valor</t>
        </is>
      </c>
      <c r="D26" s="2" t="inlineStr"/>
      <c r="E26" s="2" t="inlineStr"/>
      <c r="F26" s="2" t="inlineStr"/>
      <c r="G26" s="2" t="inlineStr"/>
      <c r="H26" s="2" t="inlineStr"/>
      <c r="I26" s="2" t="inlineStr"/>
    </row>
    <row r="27">
      <c r="B27" s="3" t="inlineStr">
        <is>
          <t>ISR + PTU</t>
        </is>
      </c>
      <c r="C27" s="8" t="n">
        <v>0.008</v>
      </c>
    </row>
    <row r="28">
      <c r="B28" s="3" t="inlineStr">
        <is>
          <t>CapEx (% de Ingresos)</t>
        </is>
      </c>
      <c r="C28" s="8" t="n">
        <v>0.025</v>
      </c>
    </row>
    <row r="31">
      <c r="A31" s="6" t="inlineStr">
        <is>
          <t>WACC Y VALOR TERMINAL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2" t="inlineStr"/>
      <c r="B32" s="2" t="inlineStr">
        <is>
          <t>Concepto</t>
        </is>
      </c>
      <c r="C32" s="2" t="inlineStr">
        <is>
          <t>Valor</t>
        </is>
      </c>
      <c r="D32" s="2" t="inlineStr"/>
      <c r="E32" s="2" t="inlineStr"/>
      <c r="F32" s="2" t="inlineStr"/>
      <c r="G32" s="2" t="inlineStr"/>
      <c r="H32" s="2" t="inlineStr"/>
      <c r="I32" s="2" t="inlineStr"/>
    </row>
    <row r="33">
      <c r="B33" s="3" t="inlineStr">
        <is>
          <t>WACC (Costo Promedio Ponderado de Capital)</t>
        </is>
      </c>
      <c r="C33" s="8" t="n">
        <v>0.175</v>
      </c>
    </row>
    <row r="34">
      <c r="B34" s="3" t="inlineStr">
        <is>
          <t>Crecimiento Terminal (Perpetuidad)</t>
        </is>
      </c>
      <c r="C34" s="8" t="n">
        <v>0</v>
      </c>
    </row>
    <row r="35">
      <c r="B35" s="3" t="inlineStr">
        <is>
          <t>Método de Valor Terminal</t>
        </is>
      </c>
      <c r="C35" s="4" t="inlineStr">
        <is>
          <t>Growth</t>
        </is>
      </c>
    </row>
    <row r="37">
      <c r="A37" s="6" t="inlineStr">
        <is>
          <t>DATOS DE BALANCE GENERAL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2" t="inlineStr"/>
      <c r="B38" s="2" t="inlineStr">
        <is>
          <t>Concepto</t>
        </is>
      </c>
      <c r="C38" s="2" t="inlineStr">
        <is>
          <t>Valor</t>
        </is>
      </c>
      <c r="D38" s="2" t="inlineStr"/>
      <c r="E38" s="2" t="inlineStr"/>
      <c r="F38" s="2" t="inlineStr"/>
      <c r="G38" s="2" t="inlineStr"/>
      <c r="H38" s="2" t="inlineStr"/>
      <c r="I38" s="2" t="inlineStr"/>
    </row>
    <row r="39">
      <c r="B39" s="3" t="inlineStr">
        <is>
          <t>Deuda Total</t>
        </is>
      </c>
      <c r="C39" s="9" t="n">
        <v>54739</v>
      </c>
    </row>
    <row r="40">
      <c r="B40" s="3" t="inlineStr">
        <is>
          <t>Efectivo y Equivalentes</t>
        </is>
      </c>
      <c r="C40" s="9" t="n">
        <v>7411</v>
      </c>
    </row>
    <row r="41">
      <c r="B41" s="3" t="inlineStr">
        <is>
          <t>Capital Contable</t>
        </is>
      </c>
      <c r="C41" s="9" t="n">
        <v>218956</v>
      </c>
    </row>
  </sheetData>
  <mergeCells count="7">
    <mergeCell ref="A25:I25"/>
    <mergeCell ref="A19:I19"/>
    <mergeCell ref="A37:I37"/>
    <mergeCell ref="A1:I1"/>
    <mergeCell ref="A8:I8"/>
    <mergeCell ref="A31:I31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44AD"/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DETALLE DE CAPITAL DE TRABAJO (Miles de MXN)</t>
        </is>
      </c>
    </row>
    <row r="2">
      <c r="A2" s="2" t="inlineStr"/>
      <c r="B2" s="2" t="inlineStr">
        <is>
          <t>Concepto</t>
        </is>
      </c>
      <c r="C2" s="2" t="inlineStr">
        <is>
          <t>Año -1</t>
        </is>
      </c>
      <c r="D2" s="2" t="inlineStr">
        <is>
          <t>Año 0</t>
        </is>
      </c>
      <c r="E2" s="2" t="inlineStr">
        <is>
          <t>Año 1</t>
        </is>
      </c>
      <c r="F2" s="2" t="inlineStr">
        <is>
          <t>Año 2</t>
        </is>
      </c>
      <c r="G2" s="2" t="inlineStr">
        <is>
          <t>Año 3</t>
        </is>
      </c>
      <c r="H2" s="2" t="inlineStr">
        <is>
          <t>Año 4</t>
        </is>
      </c>
      <c r="I2" s="2" t="inlineStr">
        <is>
          <t>Año 5</t>
        </is>
      </c>
      <c r="J2" s="2" t="inlineStr"/>
    </row>
    <row r="4">
      <c r="B4" s="3" t="inlineStr">
        <is>
          <t>Cuentas por Cobrar (CxC)</t>
        </is>
      </c>
      <c r="C4" s="10">
        <f>'SUPUESTOS'!$C$21/365*'ESTADO_RESULTADOS'!C3</f>
        <v/>
      </c>
      <c r="D4" s="10">
        <f>'SUPUESTOS'!$C$21/365*'ESTADO_RESULTADOS'!D3</f>
        <v/>
      </c>
      <c r="E4" s="10">
        <f>'SUPUESTOS'!$C$21/365*'ESTADO_RESULTADOS'!E3</f>
        <v/>
      </c>
      <c r="F4" s="10">
        <f>'SUPUESTOS'!$C$21/365*'ESTADO_RESULTADOS'!F3</f>
        <v/>
      </c>
      <c r="G4" s="10">
        <f>'SUPUESTOS'!$C$21/365*'ESTADO_RESULTADOS'!G3</f>
        <v/>
      </c>
      <c r="H4" s="10">
        <f>'SUPUESTOS'!$C$21/365*'ESTADO_RESULTADOS'!H3</f>
        <v/>
      </c>
      <c r="I4" s="10">
        <f>'SUPUESTOS'!$C$21/365*'ESTADO_RESULTADOS'!I3</f>
        <v/>
      </c>
    </row>
    <row r="6">
      <c r="B6" s="3" t="inlineStr">
        <is>
          <t>Inventario</t>
        </is>
      </c>
      <c r="C6" s="10">
        <f>'SUPUESTOS'!$C$22/365*'ESTADO_RESULTADOS'!C6</f>
        <v/>
      </c>
      <c r="D6" s="10">
        <f>'SUPUESTOS'!$C$22/365*'ESTADO_RESULTADOS'!D6</f>
        <v/>
      </c>
      <c r="E6" s="10">
        <f>'SUPUESTOS'!$C$22/365*'ESTADO_RESULTADOS'!E6</f>
        <v/>
      </c>
      <c r="F6" s="10">
        <f>'SUPUESTOS'!$C$22/365*'ESTADO_RESULTADOS'!F6</f>
        <v/>
      </c>
      <c r="G6" s="10">
        <f>'SUPUESTOS'!$C$22/365*'ESTADO_RESULTADOS'!G6</f>
        <v/>
      </c>
      <c r="H6" s="10">
        <f>'SUPUESTOS'!$C$22/365*'ESTADO_RESULTADOS'!H6</f>
        <v/>
      </c>
      <c r="I6" s="10">
        <f>'SUPUESTOS'!$C$22/365*'ESTADO_RESULTADOS'!I6</f>
        <v/>
      </c>
    </row>
    <row r="8">
      <c r="B8" s="3" t="inlineStr">
        <is>
          <t>Cuentas por Pagar (CxP)</t>
        </is>
      </c>
      <c r="C8" s="10">
        <f>'SUPUESTOS'!$C$23/365*('ESTADO_RESULTADOS'!C6+'ESTADO_RESULTADOS'!C7+'ESTADO_RESULTADOS'!C8)</f>
        <v/>
      </c>
      <c r="D8" s="10">
        <f>'SUPUESTOS'!$C$23/365*('ESTADO_RESULTADOS'!D6+'ESTADO_RESULTADOS'!D7+'ESTADO_RESULTADOS'!D8)</f>
        <v/>
      </c>
      <c r="E8" s="10">
        <f>'SUPUESTOS'!$C$23/365*('ESTADO_RESULTADOS'!E6+'ESTADO_RESULTADOS'!E7+'ESTADO_RESULTADOS'!E8)</f>
        <v/>
      </c>
      <c r="F8" s="10">
        <f>'SUPUESTOS'!$C$23/365*('ESTADO_RESULTADOS'!F6+'ESTADO_RESULTADOS'!F7+'ESTADO_RESULTADOS'!F8)</f>
        <v/>
      </c>
      <c r="G8" s="10">
        <f>'SUPUESTOS'!$C$23/365*('ESTADO_RESULTADOS'!G6+'ESTADO_RESULTADOS'!G7+'ESTADO_RESULTADOS'!G8)</f>
        <v/>
      </c>
      <c r="H8" s="10">
        <f>'SUPUESTOS'!$C$23/365*('ESTADO_RESULTADOS'!H6+'ESTADO_RESULTADOS'!H7+'ESTADO_RESULTADOS'!H8)</f>
        <v/>
      </c>
      <c r="I8" s="10">
        <f>'SUPUESTOS'!$C$23/365*('ESTADO_RESULTADOS'!I6+'ESTADO_RESULTADOS'!I7+'ESTADO_RESULTADOS'!I8)</f>
        <v/>
      </c>
    </row>
    <row r="10">
      <c r="B10" s="3" t="inlineStr">
        <is>
          <t>Working Capital (CxC + Inv - CxP)</t>
        </is>
      </c>
      <c r="C10" s="10">
        <f>C4+C6-C8</f>
        <v/>
      </c>
      <c r="D10" s="10">
        <f>D4+D6-D8</f>
        <v/>
      </c>
      <c r="E10" s="10">
        <f>E4+E6-E8</f>
        <v/>
      </c>
      <c r="F10" s="10">
        <f>F4+F6-F8</f>
        <v/>
      </c>
      <c r="G10" s="10">
        <f>G4+G6-G8</f>
        <v/>
      </c>
      <c r="H10" s="10">
        <f>H4+H6-H8</f>
        <v/>
      </c>
      <c r="I10" s="10">
        <f>I4+I6-I8</f>
        <v/>
      </c>
    </row>
    <row r="12">
      <c r="B12" s="3" t="inlineStr">
        <is>
          <t>Δ Working Capital</t>
        </is>
      </c>
      <c r="C12" s="10" t="n">
        <v>0</v>
      </c>
      <c r="D12" s="10">
        <f>D10-C10</f>
        <v/>
      </c>
      <c r="E12" s="10">
        <f>E10-D10</f>
        <v/>
      </c>
      <c r="F12" s="10">
        <f>F10-E10</f>
        <v/>
      </c>
      <c r="G12" s="10">
        <f>G10-F10</f>
        <v/>
      </c>
      <c r="H12" s="10">
        <f>H10-G10</f>
        <v/>
      </c>
      <c r="I12" s="10">
        <f>I10-H10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86C1"/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ESTADO DE RESULTADOS PROYECTADO (Miles de MXN)</t>
        </is>
      </c>
    </row>
    <row r="2">
      <c r="A2" s="2" t="inlineStr"/>
      <c r="B2" s="2" t="inlineStr">
        <is>
          <t>Concepto</t>
        </is>
      </c>
      <c r="C2" s="2" t="inlineStr">
        <is>
          <t>Año -1</t>
        </is>
      </c>
      <c r="D2" s="2" t="inlineStr">
        <is>
          <t>Año 0</t>
        </is>
      </c>
      <c r="E2" s="2" t="inlineStr">
        <is>
          <t>Año 1</t>
        </is>
      </c>
      <c r="F2" s="2" t="inlineStr">
        <is>
          <t>Año 2</t>
        </is>
      </c>
      <c r="G2" s="2" t="inlineStr">
        <is>
          <t>Año 3</t>
        </is>
      </c>
      <c r="H2" s="2" t="inlineStr">
        <is>
          <t>Año 4</t>
        </is>
      </c>
      <c r="I2" s="2" t="inlineStr">
        <is>
          <t>Año 5</t>
        </is>
      </c>
      <c r="J2" s="2" t="inlineStr"/>
    </row>
    <row r="3">
      <c r="B3" s="3" t="inlineStr">
        <is>
          <t>Ingresos</t>
        </is>
      </c>
      <c r="C3" s="9" t="n">
        <v>622590</v>
      </c>
      <c r="D3" s="9" t="n">
        <v>741120</v>
      </c>
      <c r="E3" s="10">
        <f>D3*(1+'SUPUESTOS'!$E$10)</f>
        <v/>
      </c>
      <c r="F3" s="10">
        <f>E3*(1+'SUPUESTOS'!$F$10)</f>
        <v/>
      </c>
      <c r="G3" s="10">
        <f>F3*(1+'SUPUESTOS'!$G$10)</f>
        <v/>
      </c>
      <c r="H3" s="10">
        <f>G3*(1+'SUPUESTOS'!$H$10)</f>
        <v/>
      </c>
      <c r="I3" s="10">
        <f>H3*(1+'SUPUESTOS'!$I$10)</f>
        <v/>
      </c>
    </row>
    <row r="4">
      <c r="B4" s="3" t="inlineStr">
        <is>
          <t>Crecimiento %</t>
        </is>
      </c>
      <c r="C4" s="8" t="n">
        <v>0.163</v>
      </c>
      <c r="D4" s="11">
        <f>'SUPUESTOS'!$D$10</f>
        <v/>
      </c>
      <c r="E4" s="11">
        <f>'SUPUESTOS'!$E$10</f>
        <v/>
      </c>
      <c r="F4" s="11">
        <f>'SUPUESTOS'!$F$10</f>
        <v/>
      </c>
      <c r="G4" s="11">
        <f>'SUPUESTOS'!$G$10</f>
        <v/>
      </c>
      <c r="H4" s="11">
        <f>'SUPUESTOS'!$H$10</f>
        <v/>
      </c>
      <c r="I4" s="11">
        <f>'SUPUESTOS'!$I$10</f>
        <v/>
      </c>
    </row>
    <row r="6">
      <c r="B6" s="3" t="inlineStr">
        <is>
          <t>Costo Directo</t>
        </is>
      </c>
      <c r="C6" s="9" t="n">
        <v>395967.24</v>
      </c>
      <c r="D6" s="9" t="n">
        <v>471352.32</v>
      </c>
      <c r="E6" s="10">
        <f>E3*'SUPUESTOS'!$C$14</f>
        <v/>
      </c>
      <c r="F6" s="10">
        <f>F3*'SUPUESTOS'!$C$14</f>
        <v/>
      </c>
      <c r="G6" s="10">
        <f>G3*'SUPUESTOS'!$C$14</f>
        <v/>
      </c>
      <c r="H6" s="10">
        <f>H3*'SUPUESTOS'!$C$14</f>
        <v/>
      </c>
      <c r="I6" s="10">
        <f>I3*'SUPUESTOS'!$C$14</f>
        <v/>
      </c>
    </row>
    <row r="7">
      <c r="B7" s="3" t="inlineStr">
        <is>
          <t>Gastos de Venta</t>
        </is>
      </c>
      <c r="C7" s="9" t="n">
        <v>146308.65</v>
      </c>
      <c r="D7" s="9" t="n">
        <v>179351.04</v>
      </c>
      <c r="E7" s="10">
        <f>E3*'SUPUESTOS'!$C$15</f>
        <v/>
      </c>
      <c r="F7" s="10">
        <f>F3*'SUPUESTOS'!$C$15</f>
        <v/>
      </c>
      <c r="G7" s="10">
        <f>G3*'SUPUESTOS'!$C$15</f>
        <v/>
      </c>
      <c r="H7" s="10">
        <f>H3*'SUPUESTOS'!$C$15</f>
        <v/>
      </c>
      <c r="I7" s="10">
        <f>I3*'SUPUESTOS'!$C$15</f>
        <v/>
      </c>
    </row>
    <row r="8">
      <c r="B8" s="3" t="inlineStr">
        <is>
          <t>Gastos Administrativos</t>
        </is>
      </c>
      <c r="C8" s="9" t="n">
        <v>11829.21</v>
      </c>
      <c r="D8" s="9" t="n">
        <v>13340.16</v>
      </c>
      <c r="E8" s="10">
        <f>E3*'SUPUESTOS'!$C$16</f>
        <v/>
      </c>
      <c r="F8" s="10">
        <f>F3*'SUPUESTOS'!$C$16</f>
        <v/>
      </c>
      <c r="G8" s="10">
        <f>G3*'SUPUESTOS'!$C$16</f>
        <v/>
      </c>
      <c r="H8" s="10">
        <f>H3*'SUPUESTOS'!$C$16</f>
        <v/>
      </c>
      <c r="I8" s="10">
        <f>I3*'SUPUESTOS'!$C$16</f>
        <v/>
      </c>
    </row>
    <row r="9">
      <c r="B9" s="3" t="inlineStr">
        <is>
          <t>Depreciación y Amortización</t>
        </is>
      </c>
      <c r="C9" s="9" t="n">
        <v>16187.34</v>
      </c>
      <c r="D9" s="9" t="n">
        <v>18528</v>
      </c>
      <c r="E9" s="10">
        <f>E3*'SUPUESTOS'!$C$17</f>
        <v/>
      </c>
      <c r="F9" s="10">
        <f>F3*'SUPUESTOS'!$C$17</f>
        <v/>
      </c>
      <c r="G9" s="10">
        <f>G3*'SUPUESTOS'!$C$17</f>
        <v/>
      </c>
      <c r="H9" s="10">
        <f>H3*'SUPUESTOS'!$C$17</f>
        <v/>
      </c>
      <c r="I9" s="10">
        <f>I3*'SUPUESTOS'!$C$17</f>
        <v/>
      </c>
    </row>
    <row r="11">
      <c r="B11" s="3" t="inlineStr">
        <is>
          <t>Total Costos y Gastos</t>
        </is>
      </c>
      <c r="C11" s="10">
        <f>SUM(C6:C9)</f>
        <v/>
      </c>
      <c r="D11" s="10">
        <f>SUM(D6:D9)</f>
        <v/>
      </c>
      <c r="E11" s="10">
        <f>SUM(E6:E9)</f>
        <v/>
      </c>
      <c r="F11" s="10">
        <f>SUM(F6:F9)</f>
        <v/>
      </c>
      <c r="G11" s="10">
        <f>SUM(G6:G9)</f>
        <v/>
      </c>
      <c r="H11" s="10">
        <f>SUM(H6:H9)</f>
        <v/>
      </c>
      <c r="I11" s="10">
        <f>SUM(I6:I9)</f>
        <v/>
      </c>
    </row>
    <row r="13">
      <c r="B13" s="3" t="inlineStr">
        <is>
          <t>Utilidad de Operación (EBIT)</t>
        </is>
      </c>
      <c r="C13" s="10">
        <f>C3-C11</f>
        <v/>
      </c>
      <c r="D13" s="10">
        <f>D3-D11</f>
        <v/>
      </c>
      <c r="E13" s="10">
        <f>E3-E11</f>
        <v/>
      </c>
      <c r="F13" s="10">
        <f>F3-F11</f>
        <v/>
      </c>
      <c r="G13" s="10">
        <f>G3-G11</f>
        <v/>
      </c>
      <c r="H13" s="10">
        <f>H3-H11</f>
        <v/>
      </c>
      <c r="I13" s="10">
        <f>I3-I11</f>
        <v/>
      </c>
    </row>
    <row r="14">
      <c r="B14" s="3" t="inlineStr">
        <is>
          <t>Margen EBIT %</t>
        </is>
      </c>
      <c r="C14" s="11">
        <f>C13/C3</f>
        <v/>
      </c>
      <c r="D14" s="11">
        <f>D13/D3</f>
        <v/>
      </c>
      <c r="E14" s="11">
        <f>E13/E3</f>
        <v/>
      </c>
      <c r="F14" s="11">
        <f>F13/F3</f>
        <v/>
      </c>
      <c r="G14" s="11">
        <f>G13/G3</f>
        <v/>
      </c>
      <c r="H14" s="11">
        <f>H13/H3</f>
        <v/>
      </c>
      <c r="I14" s="11">
        <f>I13/I3</f>
        <v/>
      </c>
    </row>
    <row r="16">
      <c r="B16" s="3" t="inlineStr">
        <is>
          <t>ISR + PTU</t>
        </is>
      </c>
      <c r="C16" s="10">
        <f>C13*'SUPUESTOS'!$C$27</f>
        <v/>
      </c>
      <c r="D16" s="10">
        <f>D13*'SUPUESTOS'!$C$27</f>
        <v/>
      </c>
      <c r="E16" s="10">
        <f>E13*'SUPUESTOS'!$C$27</f>
        <v/>
      </c>
      <c r="F16" s="10">
        <f>F13*'SUPUESTOS'!$C$27</f>
        <v/>
      </c>
      <c r="G16" s="10">
        <f>G13*'SUPUESTOS'!$C$27</f>
        <v/>
      </c>
      <c r="H16" s="10">
        <f>H13*'SUPUESTOS'!$C$27</f>
        <v/>
      </c>
      <c r="I16" s="10">
        <f>I13*'SUPUESTOS'!$C$27</f>
        <v/>
      </c>
    </row>
    <row r="18">
      <c r="B18" s="3" t="inlineStr">
        <is>
          <t>NOPAT (Utilidad Neta Operativa)</t>
        </is>
      </c>
      <c r="C18" s="10">
        <f>C13-C16</f>
        <v/>
      </c>
      <c r="D18" s="10">
        <f>D13-D16</f>
        <v/>
      </c>
      <c r="E18" s="10">
        <f>E13-E16</f>
        <v/>
      </c>
      <c r="F18" s="10">
        <f>F13-F16</f>
        <v/>
      </c>
      <c r="G18" s="10">
        <f>G13-G16</f>
        <v/>
      </c>
      <c r="H18" s="10">
        <f>H13-H16</f>
        <v/>
      </c>
      <c r="I18" s="10">
        <f>I13-I16</f>
        <v/>
      </c>
    </row>
    <row r="19">
      <c r="B19" s="3" t="inlineStr">
        <is>
          <t>Margen Neto %</t>
        </is>
      </c>
      <c r="C19" s="11">
        <f>C18/C3</f>
        <v/>
      </c>
      <c r="D19" s="11">
        <f>D18/D3</f>
        <v/>
      </c>
      <c r="E19" s="11">
        <f>E18/E3</f>
        <v/>
      </c>
      <c r="F19" s="11">
        <f>F18/F3</f>
        <v/>
      </c>
      <c r="G19" s="11">
        <f>G18/G3</f>
        <v/>
      </c>
      <c r="H19" s="11">
        <f>H18/H3</f>
        <v/>
      </c>
      <c r="I19" s="11">
        <f>I18/I3</f>
        <v/>
      </c>
    </row>
    <row r="21">
      <c r="B21" s="3" t="inlineStr">
        <is>
          <t>Utilidad Neta</t>
        </is>
      </c>
      <c r="C21" s="10">
        <f>C18</f>
        <v/>
      </c>
      <c r="D21" s="10">
        <f>D18</f>
        <v/>
      </c>
      <c r="E21" s="10">
        <f>E18</f>
        <v/>
      </c>
      <c r="F21" s="10">
        <f>F18</f>
        <v/>
      </c>
      <c r="G21" s="10">
        <f>G18</f>
        <v/>
      </c>
      <c r="H21" s="10">
        <f>H18</f>
        <v/>
      </c>
      <c r="I21" s="10">
        <f>I18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FLUJO DE CAJA LIBRE PROYECTADO (Miles de MXN)</t>
        </is>
      </c>
    </row>
    <row r="2">
      <c r="A2" s="2" t="inlineStr"/>
      <c r="B2" s="2" t="inlineStr">
        <is>
          <t>Concepto</t>
        </is>
      </c>
      <c r="C2" s="2" t="inlineStr">
        <is>
          <t>Año -1</t>
        </is>
      </c>
      <c r="D2" s="2" t="inlineStr">
        <is>
          <t>Año 0</t>
        </is>
      </c>
      <c r="E2" s="2" t="inlineStr">
        <is>
          <t>Año 1</t>
        </is>
      </c>
      <c r="F2" s="2" t="inlineStr">
        <is>
          <t>Año 2</t>
        </is>
      </c>
      <c r="G2" s="2" t="inlineStr">
        <is>
          <t>Año 3</t>
        </is>
      </c>
      <c r="H2" s="2" t="inlineStr">
        <is>
          <t>Año 4</t>
        </is>
      </c>
      <c r="I2" s="2" t="inlineStr">
        <is>
          <t>Año 5</t>
        </is>
      </c>
      <c r="J2" s="2" t="inlineStr"/>
    </row>
    <row r="3">
      <c r="B3" s="3" t="inlineStr">
        <is>
          <t>NOPAT</t>
        </is>
      </c>
      <c r="C3" s="10">
        <f>'ESTADO_RESULTADOS'!C18</f>
        <v/>
      </c>
      <c r="D3" s="10">
        <f>'ESTADO_RESULTADOS'!D18</f>
        <v/>
      </c>
      <c r="E3" s="10">
        <f>'ESTADO_RESULTADOS'!E18</f>
        <v/>
      </c>
      <c r="F3" s="10">
        <f>'ESTADO_RESULTADOS'!F18</f>
        <v/>
      </c>
      <c r="G3" s="10">
        <f>'ESTADO_RESULTADOS'!G18</f>
        <v/>
      </c>
      <c r="H3" s="10">
        <f>'ESTADO_RESULTADOS'!H18</f>
        <v/>
      </c>
      <c r="I3" s="10">
        <f>'ESTADO_RESULTADOS'!I18</f>
        <v/>
      </c>
    </row>
    <row r="5">
      <c r="B5" s="3" t="inlineStr">
        <is>
          <t>(+) Depreciación y Amortización</t>
        </is>
      </c>
      <c r="C5" s="10">
        <f>'ESTADO_RESULTADOS'!C9</f>
        <v/>
      </c>
      <c r="D5" s="10">
        <f>'ESTADO_RESULTADOS'!D9</f>
        <v/>
      </c>
      <c r="E5" s="10">
        <f>'ESTADO_RESULTADOS'!E9</f>
        <v/>
      </c>
      <c r="F5" s="10">
        <f>'ESTADO_RESULTADOS'!F9</f>
        <v/>
      </c>
      <c r="G5" s="10">
        <f>'ESTADO_RESULTADOS'!G9</f>
        <v/>
      </c>
      <c r="H5" s="10">
        <f>'ESTADO_RESULTADOS'!H9</f>
        <v/>
      </c>
      <c r="I5" s="10">
        <f>'ESTADO_RESULTADOS'!I9</f>
        <v/>
      </c>
    </row>
    <row r="7">
      <c r="B7" s="3" t="inlineStr">
        <is>
          <t>(-) Δ Capital de Trabajo</t>
        </is>
      </c>
      <c r="C7" s="10">
        <f>'CAPITAL_TRABAJO'!C12</f>
        <v/>
      </c>
      <c r="D7" s="10">
        <f>'CAPITAL_TRABAJO'!D12</f>
        <v/>
      </c>
      <c r="E7" s="10">
        <f>'CAPITAL_TRABAJO'!E12</f>
        <v/>
      </c>
      <c r="F7" s="10">
        <f>'CAPITAL_TRABAJO'!F12</f>
        <v/>
      </c>
      <c r="G7" s="10">
        <f>'CAPITAL_TRABAJO'!G12</f>
        <v/>
      </c>
      <c r="H7" s="10">
        <f>'CAPITAL_TRABAJO'!H12</f>
        <v/>
      </c>
      <c r="I7" s="10">
        <f>'CAPITAL_TRABAJO'!I12</f>
        <v/>
      </c>
    </row>
    <row r="9">
      <c r="B9" s="3" t="inlineStr">
        <is>
          <t>(-) CapEx</t>
        </is>
      </c>
      <c r="C9" s="10">
        <f>'ESTADO_RESULTADOS'!C3*'SUPUESTOS'!$C$28</f>
        <v/>
      </c>
      <c r="D9" s="10">
        <f>'ESTADO_RESULTADOS'!D3*'SUPUESTOS'!$C$28</f>
        <v/>
      </c>
      <c r="E9" s="10">
        <f>'ESTADO_RESULTADOS'!E3*'SUPUESTOS'!$C$28</f>
        <v/>
      </c>
      <c r="F9" s="10">
        <f>'ESTADO_RESULTADOS'!F3*'SUPUESTOS'!$C$28</f>
        <v/>
      </c>
      <c r="G9" s="10">
        <f>'ESTADO_RESULTADOS'!G3*'SUPUESTOS'!$C$28</f>
        <v/>
      </c>
      <c r="H9" s="10">
        <f>'ESTADO_RESULTADOS'!H3*'SUPUESTOS'!$C$28</f>
        <v/>
      </c>
      <c r="I9" s="10">
        <f>'ESTADO_RESULTADOS'!I3*'SUPUESTOS'!$C$28</f>
        <v/>
      </c>
    </row>
    <row r="11">
      <c r="B11" s="3" t="inlineStr">
        <is>
          <t>Flujo de Caja Libre (FCF)</t>
        </is>
      </c>
      <c r="C11" s="10">
        <f>C3+C5-C7-C9</f>
        <v/>
      </c>
      <c r="D11" s="10">
        <f>D3+D5-D7-D9</f>
        <v/>
      </c>
      <c r="E11" s="10">
        <f>E3+E5-E7-E9</f>
        <v/>
      </c>
      <c r="F11" s="10">
        <f>F3+F5-F7-F9</f>
        <v/>
      </c>
      <c r="G11" s="10">
        <f>G3+G5-G7-G9</f>
        <v/>
      </c>
      <c r="H11" s="10">
        <f>H3+H5-H7-H9</f>
        <v/>
      </c>
      <c r="I11" s="10">
        <f>I3+I5-I7-I9</f>
        <v/>
      </c>
    </row>
    <row r="13">
      <c r="B13" s="3" t="inlineStr">
        <is>
          <t>Factor de Descuento (WACC)</t>
        </is>
      </c>
      <c r="C13" s="12" t="n">
        <v>1</v>
      </c>
      <c r="D13" s="12" t="n">
        <v>1</v>
      </c>
      <c r="E13" s="12">
        <f>1/(1+'SUPUESTOS'!$C$33)^1</f>
        <v/>
      </c>
      <c r="F13" s="12">
        <f>1/(1+'SUPUESTOS'!$C$33)^2</f>
        <v/>
      </c>
      <c r="G13" s="12">
        <f>1/(1+'SUPUESTOS'!$C$33)^3</f>
        <v/>
      </c>
      <c r="H13" s="12">
        <f>1/(1+'SUPUESTOS'!$C$33)^4</f>
        <v/>
      </c>
      <c r="I13" s="12">
        <f>1/(1+'SUPUESTOS'!$C$33)^5</f>
        <v/>
      </c>
    </row>
    <row r="15">
      <c r="B15" s="3" t="inlineStr">
        <is>
          <t>FCF Descontado</t>
        </is>
      </c>
      <c r="C15" s="10">
        <f>C11*C13</f>
        <v/>
      </c>
      <c r="D15" s="10">
        <f>D11*D13</f>
        <v/>
      </c>
      <c r="E15" s="10">
        <f>E11*E13</f>
        <v/>
      </c>
      <c r="F15" s="10">
        <f>F11*F13</f>
        <v/>
      </c>
      <c r="G15" s="10">
        <f>G11*G13</f>
        <v/>
      </c>
      <c r="H15" s="10">
        <f>H11*H13</f>
        <v/>
      </c>
      <c r="I15" s="10">
        <f>I11*I13</f>
        <v/>
      </c>
    </row>
    <row r="17">
      <c r="B17" s="3" t="inlineStr">
        <is>
          <t>Valor Terminal (Perpetuidad)</t>
        </is>
      </c>
      <c r="C17" s="10">
        <f>IF('SUPUESTOS'!$C$35="Growth",I11*(1+'SUPUESTOS'!$C$34)/('SUPUESTOS'!$C$33-'SUPUESTOS'!$C$34),IF('SUPUESTOS'!$C$35="Zero",I11/'SUPUESTOS'!$C$33,0))</f>
        <v/>
      </c>
    </row>
    <row r="19">
      <c r="B19" s="3" t="inlineStr">
        <is>
          <t>Valor Terminal Descontado</t>
        </is>
      </c>
      <c r="C19" s="10">
        <f>C17*I13</f>
        <v/>
      </c>
    </row>
  </sheetData>
  <mergeCells count="3">
    <mergeCell ref="A1:I1"/>
    <mergeCell ref="C19:H19"/>
    <mergeCell ref="C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39C12"/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</cols>
  <sheetData>
    <row r="1">
      <c r="A1" s="1" t="inlineStr">
        <is>
          <t>RESUMEN DE VALUACIÓN (Miles de MXN)</t>
        </is>
      </c>
    </row>
    <row r="3">
      <c r="A3" s="2" t="inlineStr"/>
      <c r="B3" s="2" t="inlineStr">
        <is>
          <t>Concepto</t>
        </is>
      </c>
      <c r="C3" s="2" t="inlineStr">
        <is>
          <t>Valor</t>
        </is>
      </c>
      <c r="D3" s="2" t="inlineStr"/>
    </row>
    <row r="5">
      <c r="B5" s="3" t="inlineStr">
        <is>
          <t>Enterprise Value (EV)</t>
        </is>
      </c>
      <c r="C5" s="13">
        <f>SUM('FLUJO_EFECTIVO'!E15:I15)+'FLUJO_EFECTIVO'!C19</f>
        <v/>
      </c>
    </row>
    <row r="7">
      <c r="B7" s="3" t="inlineStr">
        <is>
          <t>(-) Deuda Total</t>
        </is>
      </c>
      <c r="C7" s="10">
        <f>'SUPUESTOS'!$C$39</f>
        <v/>
      </c>
    </row>
    <row r="9">
      <c r="B9" s="3" t="inlineStr">
        <is>
          <t>(+) Efectivo y Equivalentes</t>
        </is>
      </c>
      <c r="C9" s="10">
        <f>'SUPUESTOS'!$C$40</f>
        <v/>
      </c>
    </row>
    <row r="11">
      <c r="B11" s="3" t="inlineStr">
        <is>
          <t>Valor del Equity</t>
        </is>
      </c>
      <c r="C11" s="13">
        <f>C5-C7+C9</f>
        <v/>
      </c>
    </row>
    <row r="14">
      <c r="A14" s="6" t="inlineStr">
        <is>
          <t>MÚLTIPLOS DE VALUACIÓN</t>
        </is>
      </c>
      <c r="B14" s="7" t="n"/>
      <c r="C14" s="7" t="n"/>
      <c r="D14" s="7" t="n"/>
    </row>
    <row r="15">
      <c r="A15" s="2" t="inlineStr"/>
      <c r="B15" s="2" t="inlineStr">
        <is>
          <t>Indicador</t>
        </is>
      </c>
      <c r="C15" s="2" t="inlineStr">
        <is>
          <t>Valor</t>
        </is>
      </c>
      <c r="D15" s="2" t="inlineStr"/>
    </row>
    <row r="17">
      <c r="B17" s="3" t="inlineStr">
        <is>
          <t>EV / Ventas Año 0</t>
        </is>
      </c>
      <c r="C17" s="14">
        <f>C5/'ESTADO_RESULTADOS'!D3</f>
        <v/>
      </c>
    </row>
    <row r="19">
      <c r="B19" s="3" t="inlineStr">
        <is>
          <t>EV / EBITDA Año 0</t>
        </is>
      </c>
      <c r="C19" s="14">
        <f>C5/('ESTADO_RESULTADOS'!D13+'ESTADO_RESULTADOS'!D9)</f>
        <v/>
      </c>
    </row>
    <row r="21">
      <c r="B21" s="3" t="inlineStr">
        <is>
          <t>Valor / Capital Contable</t>
        </is>
      </c>
      <c r="C21" s="14">
        <f>C11/'SUPUESTOS'!$C$41</f>
        <v/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2026-05-07T02:03:19Z</dcterms:created>
  <dcterms:modified xsi:type="dcterms:W3CDTF">2026-05-07T02:03:19Z</dcterms:modified>
</cp:coreProperties>
</file>